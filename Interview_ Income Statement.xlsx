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&amp;L" sheetId="1" r:id="rId1"/>
    <sheet name="Assumptions" sheetId="2" r:id="rId2"/>
    <sheet name="CSV_Formula_Lo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* #,##0_);_(* (#,##0);_(* 0_);_(@_)"/>
    <numFmt numFmtId="165" formatCode="_($* #,##0_);_($* (#,##0);_($* 0_);_(@_)"/>
    <numFmt numFmtId="166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9"/>
  <sheetViews>
    <sheetView workbookViewId="0" rightToLeft="0"/>
  </sheetViews>
  <sheetData>
    <row r="1">
      <c r="A1" t="str">
        <v>Actual or Forecast</v>
      </c>
      <c r="B1" t="str">
        <v>Actual</v>
      </c>
      <c r="C1" t="str">
        <v>Actual</v>
      </c>
      <c r="D1" t="str">
        <v>Actual</v>
      </c>
      <c r="E1" t="str">
        <v>Forecast</v>
      </c>
      <c r="F1" t="str">
        <v>Forecast</v>
      </c>
      <c r="G1" t="str">
        <v>Forecast</v>
      </c>
    </row>
    <row r="2">
      <c r="A2" t="str">
        <v>Month</v>
      </c>
      <c r="B2" t="str">
        <v>Jan-25</v>
      </c>
      <c r="C2" t="str">
        <v>Feb-25</v>
      </c>
      <c r="D2" t="str">
        <v>Mar-25</v>
      </c>
      <c r="E2" t="str">
        <v>Apr-25</v>
      </c>
      <c r="F2" t="str">
        <v>May-25</v>
      </c>
      <c r="G2" t="str">
        <v>Jun-25</v>
      </c>
    </row>
    <row r="4">
      <c r="A4" t="str">
        <v>Revenue</v>
      </c>
    </row>
    <row r="5">
      <c r="A5" t="str">
        <v>Product Revenue</v>
      </c>
      <c r="B5">
        <v>120000</v>
      </c>
      <c r="C5">
        <v>125000</v>
      </c>
      <c r="D5">
        <v>130000</v>
      </c>
      <c r="E5">
        <f>D5*(1+Assumptions!$B$4)</f>
        <v>135200</v>
      </c>
      <c r="F5">
        <f>E5*(1+Assumptions!$B$4)</f>
        <v>140608</v>
      </c>
      <c r="G5">
        <f>F5*(1+Assumptions!$B$4)</f>
        <v>146232.32</v>
      </c>
    </row>
    <row r="6">
      <c r="A6" t="str">
        <v>Services Revenue</v>
      </c>
      <c r="B6">
        <v>30000</v>
      </c>
      <c r="C6">
        <v>32000</v>
      </c>
      <c r="D6">
        <v>31000</v>
      </c>
      <c r="E6">
        <f>Assumptions!$B$5</f>
        <v>33000</v>
      </c>
      <c r="F6">
        <f>Assumptions!$B$5</f>
        <v>33000</v>
      </c>
      <c r="G6">
        <f>Assumptions!$B$5</f>
        <v>33000</v>
      </c>
    </row>
    <row r="7">
      <c r="A7" t="str">
        <v>Total Revenue</v>
      </c>
      <c r="B7">
        <f>SUM(B5:B6)</f>
        <v>150000</v>
      </c>
      <c r="C7">
        <f>SUM(D:E)</f>
        <v>1587193.954</v>
      </c>
      <c r="D7">
        <f>SUM(D5:D6)</f>
        <v>161000</v>
      </c>
      <c r="E7">
        <f>SUM(E5:E6)</f>
        <v>168200</v>
      </c>
      <c r="F7">
        <f>SUM(F5:F6)</f>
        <v>173608</v>
      </c>
      <c r="G7">
        <f>SUM(G5:G6)</f>
        <v>179232.32</v>
      </c>
    </row>
    <row r="9">
      <c r="A9" t="str">
        <v>Cost of Goods Sold</v>
      </c>
    </row>
    <row r="10">
      <c r="A10" t="str">
        <v>Hosting &amp; Infrastructure</v>
      </c>
      <c r="B10">
        <f>B7*0.12</f>
        <v>18000</v>
      </c>
      <c r="C10">
        <f>C7*0.12</f>
        <v>190463.2744</v>
      </c>
      <c r="D10">
        <f>D7*0.12</f>
        <v>19320</v>
      </c>
      <c r="E10">
        <f>E7*Assumptions!$B$8</f>
        <v>20184</v>
      </c>
      <c r="F10">
        <f>F7*Assumptions!$B$8</f>
        <v>20832.96</v>
      </c>
      <c r="G10">
        <f>G7*Assumptions!$B$8</f>
        <v>21507.8784</v>
      </c>
    </row>
    <row r="11">
      <c r="A11" t="str">
        <v>Direct Labor</v>
      </c>
      <c r="B11">
        <v>25000</v>
      </c>
      <c r="C11">
        <v>25000</v>
      </c>
      <c r="D11">
        <v>26000</v>
      </c>
      <c r="E11">
        <f>Assumptions!$B$9</f>
        <v>26000</v>
      </c>
      <c r="F11">
        <f>Assumptions!$B$9</f>
        <v>26000</v>
      </c>
      <c r="G11">
        <f>Assumptions!$B$9</f>
        <v>26000</v>
      </c>
    </row>
    <row r="12">
      <c r="A12" t="str">
        <v>Total COGS</v>
      </c>
      <c r="B12">
        <f>SUM(B10:B11)</f>
        <v>43000</v>
      </c>
      <c r="C12">
        <f>SUM(C10:C11)</f>
        <v>215463.2744</v>
      </c>
      <c r="D12">
        <f>SUM(D10:D11)</f>
        <v>45320</v>
      </c>
      <c r="E12">
        <f>SUM(E10:E11)</f>
        <v>46184</v>
      </c>
      <c r="F12">
        <f>SUM(F10:F11)</f>
        <v>46832.96</v>
      </c>
      <c r="G12">
        <f>SUM(G10:G11)</f>
        <v>47507.8784</v>
      </c>
    </row>
    <row r="14">
      <c r="A14" t="str">
        <v>Gross Profit</v>
      </c>
      <c r="B14">
        <f>B7-B12</f>
        <v>107000</v>
      </c>
      <c r="C14">
        <f>C7-C12</f>
        <v>1371730.679</v>
      </c>
      <c r="D14">
        <f>D7-D12</f>
        <v>115680</v>
      </c>
      <c r="E14">
        <f>E7-E12</f>
        <v>122016</v>
      </c>
      <c r="F14">
        <f>F7-F12</f>
        <v>126775.04</v>
      </c>
      <c r="G14">
        <f>G7-G12</f>
        <v>131724.4416</v>
      </c>
    </row>
    <row r="15">
      <c r="A15" t="str">
        <v>Gross Margin %</v>
      </c>
      <c r="B15">
        <f>B14/B7</f>
        <v>0.7133333333</v>
      </c>
      <c r="C15">
        <f>C14/C7</f>
        <v>0.8642489319</v>
      </c>
      <c r="D15">
        <f>D14/D7</f>
        <v>0.7185093168</v>
      </c>
      <c r="E15">
        <f>E14/E7</f>
        <v>0.7254221165</v>
      </c>
      <c r="F15">
        <f>F14/F7</f>
        <v>0.7302373163</v>
      </c>
      <c r="G15">
        <f>G14/G7</f>
        <v>0.7349368775</v>
      </c>
    </row>
    <row r="17">
      <c r="A17" t="str">
        <v>Operating Expenses</v>
      </c>
    </row>
    <row r="18">
      <c r="A18" t="str">
        <v>Sales &amp; Marketing</v>
      </c>
      <c r="B18">
        <v>35000</v>
      </c>
      <c r="C18">
        <v>36000</v>
      </c>
      <c r="D18">
        <v>37000</v>
      </c>
      <c r="E18">
        <f>Assumptions!$B$12</f>
        <v>38000</v>
      </c>
      <c r="F18">
        <f>Assumptions!$B$12+Assumptions!$B$13</f>
        <v>39000</v>
      </c>
      <c r="G18">
        <f>Assumptions!$B$12+Assumptions!$B$13*2</f>
        <v>40000</v>
      </c>
    </row>
    <row r="19">
      <c r="A19" t="str">
        <v>Research &amp; Development</v>
      </c>
      <c r="B19">
        <v>45000</v>
      </c>
      <c r="C19">
        <v>45000</v>
      </c>
      <c r="D19">
        <v>46000</v>
      </c>
      <c r="E19">
        <f>Assumptions!$B$14</f>
        <v>47000</v>
      </c>
      <c r="F19">
        <f>Assumptions!$B$14</f>
        <v>47000</v>
      </c>
      <c r="G19">
        <f>Assumptions!$B$14</f>
        <v>47000</v>
      </c>
    </row>
    <row r="20">
      <c r="A20" t="str">
        <v>General &amp; Administrative</v>
      </c>
      <c r="B20">
        <v>20000</v>
      </c>
      <c r="C20">
        <v>20000</v>
      </c>
      <c r="D20">
        <v>21000</v>
      </c>
      <c r="E20">
        <f>Assumptions!$B$15</f>
        <v>22000</v>
      </c>
      <c r="F20">
        <f>Assumptions!$B$15</f>
        <v>22000</v>
      </c>
      <c r="G20">
        <f>Assumptions!$B$15</f>
        <v>22000</v>
      </c>
    </row>
    <row r="21">
      <c r="A21" t="str">
        <v>Total Operating Expenses</v>
      </c>
      <c r="B21">
        <f>SUM(B18:B20)</f>
        <v>100000</v>
      </c>
      <c r="C21">
        <f>SUM(C18:C20)</f>
        <v>101000</v>
      </c>
      <c r="D21">
        <f>SUM(D18:D20)</f>
        <v>104000</v>
      </c>
      <c r="E21">
        <f>SUM(E18:E20)</f>
        <v>107000</v>
      </c>
      <c r="F21">
        <f>SUM(F18:F20)</f>
        <v>108000</v>
      </c>
      <c r="G21">
        <f>SUM(G18:G20)</f>
        <v>109000</v>
      </c>
    </row>
    <row r="23">
      <c r="A23" t="str">
        <v>Operating Income</v>
      </c>
      <c r="B23">
        <f>B14-B21</f>
        <v>7000</v>
      </c>
      <c r="C23">
        <f>C14-C21</f>
        <v>1270730.679</v>
      </c>
      <c r="D23">
        <f>D14-D21</f>
        <v>11680</v>
      </c>
      <c r="E23">
        <f>E14-E21</f>
        <v>15016</v>
      </c>
      <c r="F23">
        <f>F14-F21</f>
        <v>18775.04</v>
      </c>
      <c r="G23">
        <f>G14-G21</f>
        <v>22724.4416</v>
      </c>
    </row>
    <row r="24">
      <c r="A24" t="str">
        <v>Operating Margin %</v>
      </c>
      <c r="B24">
        <f>B23/B7</f>
        <v>0.04666666667</v>
      </c>
      <c r="C24">
        <f>C23/C7</f>
        <v>0.8006146169</v>
      </c>
      <c r="D24">
        <f>D23/D7</f>
        <v>0.07254658385</v>
      </c>
      <c r="E24">
        <f>E23/E7</f>
        <v>0.08927467301</v>
      </c>
      <c r="F24">
        <f>F23/F7</f>
        <v>0.1081461684</v>
      </c>
      <c r="G24">
        <f>G23/G7</f>
        <v>0.1267876329</v>
      </c>
    </row>
    <row r="26">
      <c r="A26" t="str">
        <v>Other Income / (Expense)</v>
      </c>
    </row>
    <row r="27">
      <c r="A27" t="str">
        <v>Interest Expense</v>
      </c>
      <c r="B27">
        <v>-1500</v>
      </c>
      <c r="C27">
        <v>-1500</v>
      </c>
      <c r="D27">
        <v>-1500</v>
      </c>
      <c r="E27">
        <f>Assumptions!$B$18</f>
        <v>-1500</v>
      </c>
      <c r="F27">
        <f>Assumptions!$B$18</f>
        <v>-1500</v>
      </c>
      <c r="G27">
        <f>Assumptions!$B$18</f>
        <v>-1500</v>
      </c>
    </row>
    <row r="28">
      <c r="A28" t="str">
        <v>Other Income</v>
      </c>
      <c r="B28">
        <v>500</v>
      </c>
      <c r="C28">
        <v>500</v>
      </c>
      <c r="D28">
        <v>500</v>
      </c>
      <c r="E28">
        <f>Assumptions!$B$19</f>
        <v>500</v>
      </c>
      <c r="F28">
        <f>Assumptions!$B$19</f>
        <v>500</v>
      </c>
      <c r="G28">
        <f>Assumptions!$B$19</f>
        <v>500</v>
      </c>
    </row>
    <row r="29">
      <c r="A29" t="str">
        <v>Total Other</v>
      </c>
      <c r="B29">
        <f>SUM(B27:B28)</f>
        <v>-1000</v>
      </c>
      <c r="C29">
        <f>SUM(C27:C28)</f>
        <v>-1000</v>
      </c>
      <c r="D29">
        <f>SUM(D27:D28)</f>
        <v>-1000</v>
      </c>
      <c r="E29">
        <f>SUM(E27:E28)</f>
        <v>-1000</v>
      </c>
      <c r="F29">
        <f>SUM(F27:F28)</f>
        <v>-1000</v>
      </c>
      <c r="G29">
        <f>SUM(G27:G28)</f>
        <v>-1000</v>
      </c>
    </row>
    <row r="31">
      <c r="A31" t="str">
        <v>Net Income</v>
      </c>
      <c r="B31">
        <f>B23+B29</f>
        <v>6000</v>
      </c>
      <c r="C31">
        <f>C23+C29</f>
        <v>1269730.679</v>
      </c>
      <c r="D31">
        <f>D23+D29</f>
        <v>10680</v>
      </c>
      <c r="E31">
        <f>E23+E29</f>
        <v>14016</v>
      </c>
      <c r="F31">
        <f>F23+F29</f>
        <v>17775.04</v>
      </c>
      <c r="G31">
        <f>G23+G29</f>
        <v>21724.4416</v>
      </c>
    </row>
    <row r="32">
      <c r="A32" t="str">
        <v>Net Margin %</v>
      </c>
      <c r="B32">
        <f>B31/B7</f>
        <v>0.04</v>
      </c>
      <c r="C32">
        <f>C31/C7</f>
        <v>0.7999845742</v>
      </c>
      <c r="D32">
        <f>D31/D7</f>
        <v>0.06633540373</v>
      </c>
      <c r="E32">
        <f>E31/E7</f>
        <v>0.0833293698</v>
      </c>
      <c r="F32">
        <f>F31/F7</f>
        <v>0.1023860652</v>
      </c>
      <c r="G32">
        <f>G31/G7</f>
        <v>0.1212082821</v>
      </c>
    </row>
    <row r="34">
      <c r="A34" t="str">
        <v>EBITDA</v>
      </c>
    </row>
    <row r="35">
      <c r="A35" t="str">
        <v>Depreciation &amp; Amortization</v>
      </c>
      <c r="B35">
        <v>3000</v>
      </c>
      <c r="C35">
        <v>3000</v>
      </c>
      <c r="D35">
        <v>3000</v>
      </c>
      <c r="E35">
        <f>Assumptions!$B$22</f>
        <v>3000</v>
      </c>
      <c r="F35">
        <f>Assumptions!$B$22</f>
        <v>3000</v>
      </c>
      <c r="G35">
        <f>Assumptions!$B$22</f>
        <v>3000</v>
      </c>
    </row>
    <row r="36">
      <c r="A36" t="str">
        <v>EBITDA</v>
      </c>
      <c r="B36">
        <f>B23+B35</f>
        <v>10000</v>
      </c>
      <c r="C36">
        <f>C23+C35</f>
        <v>1273730.679</v>
      </c>
      <c r="D36">
        <f>D23+D35</f>
        <v>14680</v>
      </c>
      <c r="E36">
        <f>E23+E35</f>
        <v>18016</v>
      </c>
      <c r="F36">
        <f>F23+F35</f>
        <v>21775.04</v>
      </c>
      <c r="G36">
        <f>G23+G35</f>
        <v>25724.4416</v>
      </c>
    </row>
    <row r="37">
      <c r="A37" t="str">
        <v>EBITDA Margin %</v>
      </c>
      <c r="B37">
        <f>B36/B7</f>
        <v>0.06666666667</v>
      </c>
      <c r="C37">
        <f>C36/C7</f>
        <v>0.8025047451</v>
      </c>
      <c r="D37">
        <f>D36/D7</f>
        <v>0.09118012422</v>
      </c>
      <c r="E37">
        <f>E36/E7</f>
        <v>0.1071105826</v>
      </c>
      <c r="F37">
        <f>F36/F7</f>
        <v>0.125426478</v>
      </c>
      <c r="G37">
        <f>G36/G7</f>
        <v>0.1435256855</v>
      </c>
    </row>
  </sheetData>
  <pageMargins left="0.75" right="0.75" top="1" bottom="1" header="0" footer="0"/>
  <ignoredErrors>
    <ignoredError numberStoredAsText="1" sqref="A1:G9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 rightToLeft="0"/>
  </sheetViews>
  <sheetData>
    <row r="1">
      <c r="A1" t="str">
        <v>Sample Forecast Assumptions</v>
      </c>
    </row>
    <row r="3">
      <c r="A3" t="str">
        <v>Revenue</v>
      </c>
    </row>
    <row r="4">
      <c r="A4" t="str">
        <v>Product Revenue Growth (MoM)</v>
      </c>
      <c r="B4">
        <v>0.04</v>
      </c>
    </row>
    <row r="5">
      <c r="A5" t="str">
        <v>Services Revenue (flat monthly)</v>
      </c>
      <c r="B5">
        <v>33000</v>
      </c>
    </row>
    <row r="7">
      <c r="A7" t="str">
        <v>Cost of Goods Sold</v>
      </c>
    </row>
    <row r="8">
      <c r="A8" t="str">
        <v>Hosting (% of Revenue)</v>
      </c>
      <c r="B8">
        <v>0.12</v>
      </c>
    </row>
    <row r="9">
      <c r="A9" t="str">
        <v>Direct Labor (monthly)</v>
      </c>
      <c r="B9">
        <v>26000</v>
      </c>
    </row>
    <row r="11">
      <c r="A11" t="str">
        <v>Operating Expenses</v>
      </c>
    </row>
    <row r="12">
      <c r="A12" t="str">
        <v>Sales &amp; Marketing (monthly)</v>
      </c>
      <c r="B12">
        <v>38000</v>
      </c>
    </row>
    <row r="13">
      <c r="A13" t="str">
        <v>S&amp;M Monthly Increase</v>
      </c>
      <c r="B13">
        <v>1000</v>
      </c>
    </row>
    <row r="14">
      <c r="A14" t="str">
        <v>Research &amp; Development (monthly)</v>
      </c>
      <c r="B14">
        <v>47000</v>
      </c>
    </row>
    <row r="15">
      <c r="A15" t="str">
        <v>General &amp; Administrative (monthly)</v>
      </c>
      <c r="B15">
        <v>22000</v>
      </c>
    </row>
    <row r="17">
      <c r="A17" t="str">
        <v>Other Income / (Expense)</v>
      </c>
    </row>
    <row r="18">
      <c r="A18" t="str">
        <v>Interest Expense (monthly)</v>
      </c>
      <c r="B18">
        <v>-1500</v>
      </c>
    </row>
    <row r="19">
      <c r="A19" t="str">
        <v>Other Income (monthly)</v>
      </c>
      <c r="B19">
        <v>500</v>
      </c>
    </row>
    <row r="21">
      <c r="A21" t="str">
        <v>Depreciation &amp; Amortization</v>
      </c>
    </row>
    <row r="22">
      <c r="A22" t="str">
        <v>D&amp;A (monthly)</v>
      </c>
      <c r="B22">
        <v>3000</v>
      </c>
    </row>
  </sheetData>
  <ignoredErrors>
    <ignoredError numberStoredAsText="1" sqref="A1:B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CSV encoding loss fixtures (astToCsvText shows values only)</v>
      </c>
    </row>
    <row r="2">
      <c r="A2" t="str">
        <v>Columns B/C often match in CSV even when one cell is a formula.</v>
      </c>
    </row>
    <row r="4">
      <c r="A4" t="str">
        <v>Same display 10; formulas5+5 vs 2*5</v>
      </c>
      <c r="B4">
        <f>5+5</f>
        <v>10</v>
      </c>
      <c r="C4">
        <f>2*5</f>
        <v>10</v>
      </c>
    </row>
    <row r="5">
      <c r="A5" t="str">
        <v>Same display 25; formula100/4 vs literal</v>
      </c>
      <c r="B5">
        <f>100/4</f>
        <v>25</v>
      </c>
      <c r="C5">
        <v>25</v>
      </c>
    </row>
    <row r="6">
      <c r="A6" t="str">
        <v>Cross-sheet (cf. P&amp;L growth); value mirrors Assumptions!B4</v>
      </c>
      <c r="B6">
        <f>Assumptions!$B$4</f>
        <v>0.04</v>
      </c>
    </row>
    <row r="7">
      <c r="A7" t="str">
        <v>Boolean formula vs literal TRUE</v>
      </c>
      <c r="B7" t="b">
        <f>10&gt;5</f>
        <v>1</v>
      </c>
      <c r="C7" t="b">
        <v>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P&amp;L</vt:lpstr>
      <vt:lpstr>Assumptions</vt:lpstr>
      <vt:lpstr>CSV_Formula_Loss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